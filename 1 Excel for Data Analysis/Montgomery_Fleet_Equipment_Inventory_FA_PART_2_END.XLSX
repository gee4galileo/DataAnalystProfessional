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lileo\Videos\Online Learning\Data Analyst Bootcamp\IBM Data Analyst (Professional Certificate)\2 - Excel\Week 5\Final Course Project\"/>
    </mc:Choice>
  </mc:AlternateContent>
  <xr:revisionPtr revIDLastSave="0" documentId="13_ncr:1_{1399F97E-F902-41EF-A6D8-733F4E3F1B1C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Pivot1" sheetId="2" r:id="rId1"/>
    <sheet name="Pivot2" sheetId="3" r:id="rId2"/>
    <sheet name="Pivot3" sheetId="4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1" l="1"/>
  <c r="C55" i="1"/>
  <c r="C54" i="1"/>
  <c r="C53" i="1"/>
  <c r="C51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<sst xmlns="http://schemas.openxmlformats.org/spreadsheetml/2006/main" count="165" uniqueCount="37">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</sst>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lileo" refreshedDate="44857.449399421297" createdVersion="8" refreshedVersion="8" minRefreshableVersion="3" recordCount="49" xr:uid="{BA1A5CF4-5E51-417F-B1F5-AEAF18C02697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 count="27">
        <n v="21"/>
        <n v="1"/>
        <n v="23"/>
        <n v="2"/>
        <n v="3"/>
        <n v="42"/>
        <n v="11"/>
        <n v="9"/>
        <n v="27"/>
        <n v="24"/>
        <n v="48"/>
        <n v="6"/>
        <n v="5"/>
        <n v="15"/>
        <n v="7"/>
        <n v="20"/>
        <n v="8"/>
        <n v="4"/>
        <n v="46"/>
        <n v="93"/>
        <n v="248"/>
        <n v="379"/>
        <n v="53"/>
        <n v="32"/>
        <n v="98"/>
        <n v="276"/>
        <n v="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</r>
  <r>
    <x v="0"/>
    <x v="1"/>
    <x v="1"/>
  </r>
  <r>
    <x v="0"/>
    <x v="2"/>
    <x v="2"/>
  </r>
  <r>
    <x v="1"/>
    <x v="2"/>
    <x v="3"/>
  </r>
  <r>
    <x v="2"/>
    <x v="0"/>
    <x v="4"/>
  </r>
  <r>
    <x v="2"/>
    <x v="3"/>
    <x v="3"/>
  </r>
  <r>
    <x v="2"/>
    <x v="4"/>
    <x v="1"/>
  </r>
  <r>
    <x v="3"/>
    <x v="3"/>
    <x v="3"/>
  </r>
  <r>
    <x v="3"/>
    <x v="5"/>
    <x v="5"/>
  </r>
  <r>
    <x v="3"/>
    <x v="1"/>
    <x v="1"/>
  </r>
  <r>
    <x v="3"/>
    <x v="2"/>
    <x v="6"/>
  </r>
  <r>
    <x v="4"/>
    <x v="1"/>
    <x v="1"/>
  </r>
  <r>
    <x v="5"/>
    <x v="6"/>
    <x v="7"/>
  </r>
  <r>
    <x v="5"/>
    <x v="1"/>
    <x v="8"/>
  </r>
  <r>
    <x v="5"/>
    <x v="0"/>
    <x v="9"/>
  </r>
  <r>
    <x v="5"/>
    <x v="3"/>
    <x v="1"/>
  </r>
  <r>
    <x v="5"/>
    <x v="2"/>
    <x v="10"/>
  </r>
  <r>
    <x v="6"/>
    <x v="3"/>
    <x v="1"/>
  </r>
  <r>
    <x v="7"/>
    <x v="2"/>
    <x v="11"/>
  </r>
  <r>
    <x v="7"/>
    <x v="0"/>
    <x v="12"/>
  </r>
  <r>
    <x v="7"/>
    <x v="1"/>
    <x v="3"/>
  </r>
  <r>
    <x v="7"/>
    <x v="3"/>
    <x v="13"/>
  </r>
  <r>
    <x v="7"/>
    <x v="7"/>
    <x v="14"/>
  </r>
  <r>
    <x v="8"/>
    <x v="8"/>
    <x v="15"/>
  </r>
  <r>
    <x v="8"/>
    <x v="2"/>
    <x v="1"/>
  </r>
  <r>
    <x v="8"/>
    <x v="4"/>
    <x v="1"/>
  </r>
  <r>
    <x v="8"/>
    <x v="0"/>
    <x v="4"/>
  </r>
  <r>
    <x v="8"/>
    <x v="1"/>
    <x v="1"/>
  </r>
  <r>
    <x v="8"/>
    <x v="9"/>
    <x v="16"/>
  </r>
  <r>
    <x v="8"/>
    <x v="10"/>
    <x v="17"/>
  </r>
  <r>
    <x v="8"/>
    <x v="11"/>
    <x v="18"/>
  </r>
  <r>
    <x v="8"/>
    <x v="12"/>
    <x v="1"/>
  </r>
  <r>
    <x v="9"/>
    <x v="11"/>
    <x v="1"/>
  </r>
  <r>
    <x v="9"/>
    <x v="3"/>
    <x v="1"/>
  </r>
  <r>
    <x v="9"/>
    <x v="1"/>
    <x v="1"/>
  </r>
  <r>
    <x v="9"/>
    <x v="2"/>
    <x v="3"/>
  </r>
  <r>
    <x v="10"/>
    <x v="0"/>
    <x v="1"/>
  </r>
  <r>
    <x v="10"/>
    <x v="6"/>
    <x v="1"/>
  </r>
  <r>
    <x v="10"/>
    <x v="3"/>
    <x v="6"/>
  </r>
  <r>
    <x v="10"/>
    <x v="1"/>
    <x v="4"/>
  </r>
  <r>
    <x v="11"/>
    <x v="0"/>
    <x v="19"/>
  </r>
  <r>
    <x v="11"/>
    <x v="5"/>
    <x v="20"/>
  </r>
  <r>
    <x v="11"/>
    <x v="13"/>
    <x v="21"/>
  </r>
  <r>
    <x v="11"/>
    <x v="1"/>
    <x v="22"/>
  </r>
  <r>
    <x v="11"/>
    <x v="3"/>
    <x v="23"/>
  </r>
  <r>
    <x v="11"/>
    <x v="4"/>
    <x v="24"/>
  </r>
  <r>
    <x v="11"/>
    <x v="7"/>
    <x v="25"/>
  </r>
  <r>
    <x v="11"/>
    <x v="6"/>
    <x v="12"/>
  </r>
  <r>
    <x v="11"/>
    <x v="2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60C24F-290F-4575-ADB7-8A00093E71E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F8701-2294-443C-80C7-A7FE6B4A6D0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9149C-2F1F-4EED-9050-629C176F084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6"/>
    </i>
    <i>
      <x v="3"/>
    </i>
    <i>
      <x v="8"/>
    </i>
    <i>
      <x v="11"/>
    </i>
    <i>
      <x v="4"/>
    </i>
    <i>
      <x v="1"/>
    </i>
    <i>
      <x v="9"/>
    </i>
    <i>
      <x v="2"/>
    </i>
    <i>
      <x v="10"/>
    </i>
    <i>
      <x v="7"/>
    </i>
    <i>
      <x v="5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886D0B-0DEE-4B08-AAEE-468C99F145C5}" name="Table1" displayName="Table1" ref="A1:C50" totalsRowShown="0">
  <autoFilter ref="A1:C50" xr:uid="{D2886D0B-0DEE-4B08-AAEE-468C99F145C5}"/>
  <tableColumns count="3">
    <tableColumn id="1" xr3:uid="{A4FF0B43-6841-498A-A2DD-3A6E88A14D07}" name="Department"/>
    <tableColumn id="2" xr3:uid="{07F1C95D-6B6B-44EC-9ECC-B058F26BBE9A}" name="Equipment Class"/>
    <tableColumn id="3" xr3:uid="{F51C12AD-BC44-4872-829B-52BF77B7378F}" name="Equipment Coun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013AA-FB64-4597-A339-FE0DFF5A5150}">
  <dimension ref="A3:B16"/>
  <sheetViews>
    <sheetView workbookViewId="0">
      <selection activeCell="B3" sqref="B3"/>
    </sheetView>
  </sheetViews>
  <sheetFormatPr defaultRowHeight="14.4" x14ac:dyDescent="0.3"/>
  <cols>
    <col min="1" max="1" width="26.88671875" bestFit="1" customWidth="1"/>
    <col min="2" max="2" width="22.55468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26</v>
      </c>
      <c r="B4" s="3">
        <v>1221</v>
      </c>
    </row>
    <row r="5" spans="1:2" x14ac:dyDescent="0.3">
      <c r="A5" s="2" t="s">
        <v>15</v>
      </c>
      <c r="B5" s="3">
        <v>109</v>
      </c>
    </row>
    <row r="6" spans="1:2" x14ac:dyDescent="0.3">
      <c r="A6" s="2" t="s">
        <v>19</v>
      </c>
      <c r="B6" s="3">
        <v>85</v>
      </c>
    </row>
    <row r="7" spans="1:2" x14ac:dyDescent="0.3">
      <c r="A7" s="2" t="s">
        <v>12</v>
      </c>
      <c r="B7" s="3">
        <v>56</v>
      </c>
    </row>
    <row r="8" spans="1:2" x14ac:dyDescent="0.3">
      <c r="A8" s="2" t="s">
        <v>5</v>
      </c>
      <c r="B8" s="3">
        <v>45</v>
      </c>
    </row>
    <row r="9" spans="1:2" x14ac:dyDescent="0.3">
      <c r="A9" s="2" t="s">
        <v>18</v>
      </c>
      <c r="B9" s="3">
        <v>35</v>
      </c>
    </row>
    <row r="10" spans="1:2" x14ac:dyDescent="0.3">
      <c r="A10" s="2" t="s">
        <v>25</v>
      </c>
      <c r="B10" s="3">
        <v>16</v>
      </c>
    </row>
    <row r="11" spans="1:2" x14ac:dyDescent="0.3">
      <c r="A11" s="2" t="s">
        <v>9</v>
      </c>
      <c r="B11" s="3">
        <v>6</v>
      </c>
    </row>
    <row r="12" spans="1:2" x14ac:dyDescent="0.3">
      <c r="A12" s="2" t="s">
        <v>24</v>
      </c>
      <c r="B12" s="3">
        <v>5</v>
      </c>
    </row>
    <row r="13" spans="1:2" x14ac:dyDescent="0.3">
      <c r="A13" s="2" t="s">
        <v>8</v>
      </c>
      <c r="B13" s="3">
        <v>2</v>
      </c>
    </row>
    <row r="14" spans="1:2" x14ac:dyDescent="0.3">
      <c r="A14" s="2" t="s">
        <v>14</v>
      </c>
      <c r="B14" s="3">
        <v>1</v>
      </c>
    </row>
    <row r="15" spans="1:2" x14ac:dyDescent="0.3">
      <c r="A15" s="2" t="s">
        <v>17</v>
      </c>
      <c r="B15" s="3">
        <v>1</v>
      </c>
    </row>
    <row r="16" spans="1:2" x14ac:dyDescent="0.3">
      <c r="A16" s="2" t="s">
        <v>35</v>
      </c>
      <c r="B16" s="3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67337-23CF-4825-B08B-C1B1ED68CD08}">
  <dimension ref="A3:B21"/>
  <sheetViews>
    <sheetView workbookViewId="0">
      <selection activeCell="R1" sqref="R1"/>
    </sheetView>
  </sheetViews>
  <sheetFormatPr defaultRowHeight="14.4" x14ac:dyDescent="0.3"/>
  <cols>
    <col min="1" max="1" width="27" bestFit="1" customWidth="1"/>
    <col min="2" max="2" width="22.55468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16</v>
      </c>
      <c r="B4" s="3">
        <v>15</v>
      </c>
    </row>
    <row r="5" spans="1:2" x14ac:dyDescent="0.3">
      <c r="A5" s="4" t="s">
        <v>15</v>
      </c>
      <c r="B5" s="3">
        <v>9</v>
      </c>
    </row>
    <row r="6" spans="1:2" x14ac:dyDescent="0.3">
      <c r="A6" s="4" t="s">
        <v>26</v>
      </c>
      <c r="B6" s="3">
        <v>5</v>
      </c>
    </row>
    <row r="7" spans="1:2" x14ac:dyDescent="0.3">
      <c r="A7" s="4" t="s">
        <v>25</v>
      </c>
      <c r="B7" s="3">
        <v>1</v>
      </c>
    </row>
    <row r="8" spans="1:2" x14ac:dyDescent="0.3">
      <c r="A8" s="2" t="s">
        <v>13</v>
      </c>
      <c r="B8" s="3">
        <v>290</v>
      </c>
    </row>
    <row r="9" spans="1:2" x14ac:dyDescent="0.3">
      <c r="A9" s="2" t="s">
        <v>11</v>
      </c>
      <c r="B9" s="3">
        <v>100</v>
      </c>
    </row>
    <row r="10" spans="1:2" x14ac:dyDescent="0.3">
      <c r="A10" s="2" t="s">
        <v>28</v>
      </c>
      <c r="B10" s="3">
        <v>283</v>
      </c>
    </row>
    <row r="11" spans="1:2" x14ac:dyDescent="0.3">
      <c r="A11" s="2" t="s">
        <v>6</v>
      </c>
      <c r="B11" s="3">
        <v>150</v>
      </c>
    </row>
    <row r="12" spans="1:2" x14ac:dyDescent="0.3">
      <c r="A12" s="2" t="s">
        <v>21</v>
      </c>
      <c r="B12" s="3">
        <v>4</v>
      </c>
    </row>
    <row r="13" spans="1:2" x14ac:dyDescent="0.3">
      <c r="A13" s="2" t="s">
        <v>23</v>
      </c>
      <c r="B13" s="3">
        <v>1</v>
      </c>
    </row>
    <row r="14" spans="1:2" x14ac:dyDescent="0.3">
      <c r="A14" s="2" t="s">
        <v>22</v>
      </c>
      <c r="B14" s="3">
        <v>47</v>
      </c>
    </row>
    <row r="15" spans="1:2" x14ac:dyDescent="0.3">
      <c r="A15" s="2" t="s">
        <v>3</v>
      </c>
      <c r="B15" s="3">
        <v>20</v>
      </c>
    </row>
    <row r="16" spans="1:2" x14ac:dyDescent="0.3">
      <c r="A16" s="2" t="s">
        <v>20</v>
      </c>
      <c r="B16" s="3">
        <v>8</v>
      </c>
    </row>
    <row r="17" spans="1:2" x14ac:dyDescent="0.3">
      <c r="A17" s="2" t="s">
        <v>4</v>
      </c>
      <c r="B17" s="3">
        <v>130</v>
      </c>
    </row>
    <row r="18" spans="1:2" x14ac:dyDescent="0.3">
      <c r="A18" s="2" t="s">
        <v>7</v>
      </c>
      <c r="B18" s="3">
        <v>90</v>
      </c>
    </row>
    <row r="19" spans="1:2" x14ac:dyDescent="0.3">
      <c r="A19" s="2" t="s">
        <v>27</v>
      </c>
      <c r="B19" s="3">
        <v>379</v>
      </c>
    </row>
    <row r="20" spans="1:2" x14ac:dyDescent="0.3">
      <c r="A20" s="2" t="s">
        <v>10</v>
      </c>
      <c r="B20" s="3">
        <v>65</v>
      </c>
    </row>
    <row r="21" spans="1:2" x14ac:dyDescent="0.3">
      <c r="A21" s="2" t="s">
        <v>35</v>
      </c>
      <c r="B21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6EBD9-99B1-4352-875F-4F6801F93133}">
  <dimension ref="A3:B25"/>
  <sheetViews>
    <sheetView tabSelected="1" workbookViewId="0">
      <selection activeCell="B18" sqref="B18"/>
    </sheetView>
  </sheetViews>
  <sheetFormatPr defaultRowHeight="14.4" x14ac:dyDescent="0.3"/>
  <cols>
    <col min="1" max="1" width="30.109375" bestFit="1" customWidth="1"/>
    <col min="2" max="2" width="22.55468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26</v>
      </c>
      <c r="B4" s="3">
        <v>1221</v>
      </c>
    </row>
    <row r="5" spans="1:2" x14ac:dyDescent="0.3">
      <c r="A5" s="4" t="s">
        <v>16</v>
      </c>
      <c r="B5" s="3">
        <v>5</v>
      </c>
    </row>
    <row r="6" spans="1:2" x14ac:dyDescent="0.3">
      <c r="A6" s="4" t="s">
        <v>13</v>
      </c>
      <c r="B6" s="3">
        <v>248</v>
      </c>
    </row>
    <row r="7" spans="1:2" x14ac:dyDescent="0.3">
      <c r="A7" s="4" t="s">
        <v>11</v>
      </c>
      <c r="B7" s="3">
        <v>98</v>
      </c>
    </row>
    <row r="8" spans="1:2" x14ac:dyDescent="0.3">
      <c r="A8" s="4" t="s">
        <v>28</v>
      </c>
      <c r="B8" s="3">
        <v>276</v>
      </c>
    </row>
    <row r="9" spans="1:2" x14ac:dyDescent="0.3">
      <c r="A9" s="4" t="s">
        <v>6</v>
      </c>
      <c r="B9" s="3">
        <v>93</v>
      </c>
    </row>
    <row r="10" spans="1:2" x14ac:dyDescent="0.3">
      <c r="A10" s="4" t="s">
        <v>4</v>
      </c>
      <c r="B10" s="3">
        <v>37</v>
      </c>
    </row>
    <row r="11" spans="1:2" x14ac:dyDescent="0.3">
      <c r="A11" s="4" t="s">
        <v>7</v>
      </c>
      <c r="B11" s="3">
        <v>53</v>
      </c>
    </row>
    <row r="12" spans="1:2" x14ac:dyDescent="0.3">
      <c r="A12" s="4" t="s">
        <v>27</v>
      </c>
      <c r="B12" s="3">
        <v>379</v>
      </c>
    </row>
    <row r="13" spans="1:2" x14ac:dyDescent="0.3">
      <c r="A13" s="4" t="s">
        <v>10</v>
      </c>
      <c r="B13" s="3">
        <v>32</v>
      </c>
    </row>
    <row r="14" spans="1:2" x14ac:dyDescent="0.3">
      <c r="A14" s="2" t="s">
        <v>15</v>
      </c>
      <c r="B14" s="3">
        <v>109</v>
      </c>
    </row>
    <row r="15" spans="1:2" x14ac:dyDescent="0.3">
      <c r="A15" s="2" t="s">
        <v>19</v>
      </c>
      <c r="B15" s="3">
        <v>85</v>
      </c>
    </row>
    <row r="16" spans="1:2" x14ac:dyDescent="0.3">
      <c r="A16" s="2" t="s">
        <v>12</v>
      </c>
      <c r="B16" s="3">
        <v>56</v>
      </c>
    </row>
    <row r="17" spans="1:2" x14ac:dyDescent="0.3">
      <c r="A17" s="2" t="s">
        <v>5</v>
      </c>
      <c r="B17" s="3">
        <v>45</v>
      </c>
    </row>
    <row r="18" spans="1:2" x14ac:dyDescent="0.3">
      <c r="A18" s="2" t="s">
        <v>18</v>
      </c>
      <c r="B18" s="3">
        <v>35</v>
      </c>
    </row>
    <row r="19" spans="1:2" x14ac:dyDescent="0.3">
      <c r="A19" s="2" t="s">
        <v>25</v>
      </c>
      <c r="B19" s="3">
        <v>16</v>
      </c>
    </row>
    <row r="20" spans="1:2" x14ac:dyDescent="0.3">
      <c r="A20" s="2" t="s">
        <v>9</v>
      </c>
      <c r="B20" s="3">
        <v>6</v>
      </c>
    </row>
    <row r="21" spans="1:2" x14ac:dyDescent="0.3">
      <c r="A21" s="2" t="s">
        <v>24</v>
      </c>
      <c r="B21" s="3">
        <v>5</v>
      </c>
    </row>
    <row r="22" spans="1:2" x14ac:dyDescent="0.3">
      <c r="A22" s="2" t="s">
        <v>8</v>
      </c>
      <c r="B22" s="3">
        <v>2</v>
      </c>
    </row>
    <row r="23" spans="1:2" x14ac:dyDescent="0.3">
      <c r="A23" s="2" t="s">
        <v>14</v>
      </c>
      <c r="B23" s="3">
        <v>1</v>
      </c>
    </row>
    <row r="24" spans="1:2" x14ac:dyDescent="0.3">
      <c r="A24" s="2" t="s">
        <v>17</v>
      </c>
      <c r="B24" s="3">
        <v>1</v>
      </c>
    </row>
    <row r="25" spans="1:2" x14ac:dyDescent="0.3">
      <c r="A25" s="2" t="s">
        <v>35</v>
      </c>
      <c r="B25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opLeftCell="A35" workbookViewId="0">
      <selection activeCell="B51" sqref="B51:C55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17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6</v>
      </c>
      <c r="C2">
        <v>21</v>
      </c>
    </row>
    <row r="3" spans="1:3" x14ac:dyDescent="0.3">
      <c r="A3" t="s">
        <v>5</v>
      </c>
      <c r="B3" t="s">
        <v>7</v>
      </c>
      <c r="C3">
        <v>1</v>
      </c>
    </row>
    <row r="4" spans="1:3" x14ac:dyDescent="0.3">
      <c r="A4" t="s">
        <v>5</v>
      </c>
      <c r="B4" t="s">
        <v>4</v>
      </c>
      <c r="C4">
        <v>23</v>
      </c>
    </row>
    <row r="5" spans="1:3" x14ac:dyDescent="0.3">
      <c r="A5" t="s">
        <v>8</v>
      </c>
      <c r="B5" t="s">
        <v>4</v>
      </c>
      <c r="C5">
        <v>2</v>
      </c>
    </row>
    <row r="6" spans="1:3" x14ac:dyDescent="0.3">
      <c r="A6" t="s">
        <v>9</v>
      </c>
      <c r="B6" t="s">
        <v>6</v>
      </c>
      <c r="C6">
        <v>3</v>
      </c>
    </row>
    <row r="7" spans="1:3" x14ac:dyDescent="0.3">
      <c r="A7" t="s">
        <v>9</v>
      </c>
      <c r="B7" t="s">
        <v>10</v>
      </c>
      <c r="C7">
        <v>2</v>
      </c>
    </row>
    <row r="8" spans="1:3" x14ac:dyDescent="0.3">
      <c r="A8" t="s">
        <v>9</v>
      </c>
      <c r="B8" t="s">
        <v>11</v>
      </c>
      <c r="C8">
        <v>1</v>
      </c>
    </row>
    <row r="9" spans="1:3" x14ac:dyDescent="0.3">
      <c r="A9" t="s">
        <v>12</v>
      </c>
      <c r="B9" t="s">
        <v>10</v>
      </c>
      <c r="C9">
        <v>2</v>
      </c>
    </row>
    <row r="10" spans="1:3" x14ac:dyDescent="0.3">
      <c r="A10" t="s">
        <v>12</v>
      </c>
      <c r="B10" t="s">
        <v>13</v>
      </c>
      <c r="C10">
        <v>42</v>
      </c>
    </row>
    <row r="11" spans="1:3" x14ac:dyDescent="0.3">
      <c r="A11" t="s">
        <v>12</v>
      </c>
      <c r="B11" t="s">
        <v>7</v>
      </c>
      <c r="C11">
        <v>1</v>
      </c>
    </row>
    <row r="12" spans="1:3" x14ac:dyDescent="0.3">
      <c r="A12" t="s">
        <v>12</v>
      </c>
      <c r="B12" t="s">
        <v>4</v>
      </c>
      <c r="C12">
        <v>11</v>
      </c>
    </row>
    <row r="13" spans="1:3" x14ac:dyDescent="0.3">
      <c r="A13" t="s">
        <v>14</v>
      </c>
      <c r="B13" t="s">
        <v>7</v>
      </c>
      <c r="C13">
        <v>1</v>
      </c>
    </row>
    <row r="14" spans="1:3" x14ac:dyDescent="0.3">
      <c r="A14" t="s">
        <v>15</v>
      </c>
      <c r="B14" t="s">
        <v>16</v>
      </c>
      <c r="C14">
        <v>9</v>
      </c>
    </row>
    <row r="15" spans="1:3" x14ac:dyDescent="0.3">
      <c r="A15" t="s">
        <v>15</v>
      </c>
      <c r="B15" t="s">
        <v>7</v>
      </c>
      <c r="C15">
        <v>27</v>
      </c>
    </row>
    <row r="16" spans="1:3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  <row r="51" spans="1:3" x14ac:dyDescent="0.3">
      <c r="B51" t="s">
        <v>29</v>
      </c>
      <c r="C51">
        <f>SUM(C2:C50)</f>
        <v>1582</v>
      </c>
    </row>
    <row r="52" spans="1:3" x14ac:dyDescent="0.3">
      <c r="B52" t="s">
        <v>30</v>
      </c>
      <c r="C52" s="3">
        <f>AVERAGE(C2:C50)</f>
        <v>32.285714285714285</v>
      </c>
    </row>
    <row r="53" spans="1:3" x14ac:dyDescent="0.3">
      <c r="B53" t="s">
        <v>31</v>
      </c>
      <c r="C53">
        <f>MIN(C2:C50)</f>
        <v>1</v>
      </c>
    </row>
    <row r="54" spans="1:3" x14ac:dyDescent="0.3">
      <c r="B54" t="s">
        <v>32</v>
      </c>
      <c r="C54">
        <f>MAX(C2:C50)</f>
        <v>379</v>
      </c>
    </row>
    <row r="55" spans="1:3" x14ac:dyDescent="0.3">
      <c r="B55" t="s">
        <v>33</v>
      </c>
      <c r="C55">
        <f>COUNT(C2:C50)</f>
        <v>49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Pivot1</vt:lpstr>
      <vt:lpstr>Pivot2</vt:lpstr>
      <vt:lpstr>Pivot3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Galileo</cp:lastModifiedBy>
  <dcterms:created xsi:type="dcterms:W3CDTF">2020-09-01T17:18:12Z</dcterms:created>
  <dcterms:modified xsi:type="dcterms:W3CDTF">2022-10-23T12:20:08Z</dcterms:modified>
</cp:coreProperties>
</file>